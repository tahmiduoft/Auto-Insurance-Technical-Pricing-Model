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8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hmidzaman/Downloads/fremtpl2_auto_pricing_project 2/excel/"/>
    </mc:Choice>
  </mc:AlternateContent>
  <xr:revisionPtr revIDLastSave="0" documentId="8_{8AA34480-70FB-B34A-99EF-7CB64348008C}" xr6:coauthVersionLast="47" xr6:coauthVersionMax="47" xr10:uidLastSave="{00000000-0000-0000-0000-000000000000}"/>
  <bookViews>
    <workbookView xWindow="0" yWindow="760" windowWidth="29400" windowHeight="17140" xr2:uid="{00000000-000D-0000-FFFF-FFFF00000000}"/>
  </bookViews>
  <sheets>
    <sheet name="Cover" sheetId="1" r:id="rId1"/>
    <sheet name="Pricing Calculator" sheetId="2" r:id="rId2"/>
    <sheet name="Factor Tables" sheetId="3" r:id="rId3"/>
    <sheet name="Local Run Checklist" sheetId="4" r:id="rId4"/>
    <sheet name="AXIS-Inspired Notes" sheetId="5" r:id="rId5"/>
    <sheet name="Sources" sheetId="6" r:id="rId6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2" l="1"/>
  <c r="B25" i="2"/>
  <c r="B21" i="2"/>
  <c r="B22" i="2" s="1"/>
  <c r="B23" i="2" s="1"/>
  <c r="B24" i="2" s="1"/>
</calcChain>
</file>

<file path=xl/sharedStrings.xml><?xml version="1.0" encoding="utf-8"?>
<sst xmlns="http://schemas.openxmlformats.org/spreadsheetml/2006/main" count="106" uniqueCount="84">
  <si>
    <t>freMTPL2 Auto Insurance Pricing Model - Excel Template</t>
  </si>
  <si>
    <t>This workbook is a template. After you run Python on the real freMTPL2 dataset, run python/build_excel_tool.py to generate the completed workbook with real model-derived rating factors.</t>
  </si>
  <si>
    <t>Step</t>
  </si>
  <si>
    <t>Command / Action</t>
  </si>
  <si>
    <t>pip install -r requirements.txt</t>
  </si>
  <si>
    <t>python python/download_data.py</t>
  </si>
  <si>
    <t>python python/real_auto_pricing_model.py --sample-size 100000</t>
  </si>
  <si>
    <t>python python/build_excel_tool.py</t>
  </si>
  <si>
    <t>Open excel/freMTPL2_Auto_Pricing_Tool.xlsx</t>
  </si>
  <si>
    <t>Technical Premium Calculator Template</t>
  </si>
  <si>
    <t>Input</t>
  </si>
  <si>
    <t>Selected value</t>
  </si>
  <si>
    <t>Factor source</t>
  </si>
  <si>
    <t>Driver age band</t>
  </si>
  <si>
    <t>30-39</t>
  </si>
  <si>
    <t>DrivAgeBand</t>
  </si>
  <si>
    <t>Vehicle age band</t>
  </si>
  <si>
    <t>2-5</t>
  </si>
  <si>
    <t>VehAgeBand</t>
  </si>
  <si>
    <t>Bonus-Malus band</t>
  </si>
  <si>
    <t>50-59</t>
  </si>
  <si>
    <t>BonusMalusBand</t>
  </si>
  <si>
    <t>Area</t>
  </si>
  <si>
    <t>D</t>
  </si>
  <si>
    <t>Vehicle gas</t>
  </si>
  <si>
    <t>Regular</t>
  </si>
  <si>
    <t>VehGas</t>
  </si>
  <si>
    <t>Vehicle power band</t>
  </si>
  <si>
    <t>6-7</t>
  </si>
  <si>
    <t>VehPowerBand</t>
  </si>
  <si>
    <t>Density band</t>
  </si>
  <si>
    <t>501-1500</t>
  </si>
  <si>
    <t>DensityBand</t>
  </si>
  <si>
    <t>Assumption</t>
  </si>
  <si>
    <t>Value</t>
  </si>
  <si>
    <t>Portfolio base selected pure premium</t>
  </si>
  <si>
    <t>Loss trend</t>
  </si>
  <si>
    <t>Expense load</t>
  </si>
  <si>
    <t>Target loss ratio</t>
  </si>
  <si>
    <t>Profit load</t>
  </si>
  <si>
    <t>Optional supplied current premium</t>
  </si>
  <si>
    <t>Output</t>
  </si>
  <si>
    <t>Combined rating relativity</t>
  </si>
  <si>
    <t>Selected pure premium</t>
  </si>
  <si>
    <t>Trended pure premium</t>
  </si>
  <si>
    <t>Technical / indicated premium</t>
  </si>
  <si>
    <t>Rate change vs optional current premium</t>
  </si>
  <si>
    <t>Recommendation</t>
  </si>
  <si>
    <t>Note: these neutral factors are placeholders. The completed workbook is generated by python/build_excel_tool.py after the real data model runs.</t>
  </si>
  <si>
    <t>variable</t>
  </si>
  <si>
    <t>level</t>
  </si>
  <si>
    <t>relativity</t>
  </si>
  <si>
    <t>note</t>
  </si>
  <si>
    <t>template placeholder</t>
  </si>
  <si>
    <t>Local Run Checklist</t>
  </si>
  <si>
    <t>Task</t>
  </si>
  <si>
    <t>Expected result</t>
  </si>
  <si>
    <t>Install requirements</t>
  </si>
  <si>
    <t>No package errors</t>
  </si>
  <si>
    <t>Download data</t>
  </si>
  <si>
    <t>data/raw/freMTPL2freq.csv and data/raw/freMTPL2sev.csv exist</t>
  </si>
  <si>
    <t>Run model</t>
  </si>
  <si>
    <t>outputs/model_performance.csv and outputs/scored_policies.csv are created</t>
  </si>
  <si>
    <t>Build workbook</t>
  </si>
  <si>
    <t>excel/freMTPL2_Auto_Pricing_Tool.xlsx is created</t>
  </si>
  <si>
    <t>Test calculator</t>
  </si>
  <si>
    <t>Changing inputs changes technical premium</t>
  </si>
  <si>
    <t>Import VBA</t>
  </si>
  <si>
    <t>Buttons can refresh/reset/export PDF</t>
  </si>
  <si>
    <t>AXIS-Inspired Governance Notes</t>
  </si>
  <si>
    <t>This project does not use actual AXIS.</t>
  </si>
  <si>
    <t>It is AXIS-inspired in governance structure: model-point files, assumption/scenario controls, reproducible run outputs, and QA/audit checks.</t>
  </si>
  <si>
    <t>model_points_fremtpl2.csv = model-point file</t>
  </si>
  <si>
    <t>config/scenarios.yaml = scenario/assumption control</t>
  </si>
  <si>
    <t>rating_factors_*.csv = assumption/output tables</t>
  </si>
  <si>
    <t>scored_policies.csv = model run output</t>
  </si>
  <si>
    <t>qa_report.csv = validation/audit evidence</t>
  </si>
  <si>
    <t>Sources</t>
  </si>
  <si>
    <t>CASdatasets freMTPL documentation</t>
  </si>
  <si>
    <t>https://dutangc.github.io/CASdatasets/reference/freMTPL.html</t>
  </si>
  <si>
    <t>Hugging Face freMTPL2 mirror</t>
  </si>
  <si>
    <t>https://huggingface.co/datasets/mabilton/fremtpl2</t>
  </si>
  <si>
    <t>scikit-learn insurance claims example</t>
  </si>
  <si>
    <t>https://scikit-learn.org/stable/auto_examples/linear_model/plot_tweedie_regression_insurance_claims.html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</si>
</sst>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>
    <font>
      <sz val="11"/>
      <name val="Carlito"/>
    </font>
    <font>
      <b/>
      <sz val="18"/>
      <color rgb="FF1F4E78"/>
      <name val="Carlito"/>
    </font>
    <font>
      <b/>
      <sz val="11"/>
      <color rgb="FFFFFFFF"/>
      <name val="Carlito"/>
    </font>
    <font>
      <b/>
      <sz val="11"/>
      <name val="Carlito"/>
    </font>
  </fonts>
  <fills count="6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E2F0D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2" borderId="0" xfId="0" applyFont="1" applyFill="1"/>
    <xf numFmtId="0" fontId="0" fillId="3" borderId="0" xfId="0" applyFill="1"/>
    <xf numFmtId="0" fontId="3" fillId="3" borderId="0" xfId="0" applyFont="1" applyFill="1"/>
    <xf numFmtId="0" fontId="0" fillId="4" borderId="0" xfId="0" applyFill="1"/>
    <xf numFmtId="164" fontId="0" fillId="4" borderId="0" xfId="0" applyNumberFormat="1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"/>
  <sheetViews>
    <sheetView tabSelected="1" workbookViewId="0">
      <selection activeCell="B3" sqref="B3"/>
    </sheetView>
  </sheetViews>
  <sheetFormatPr baseColWidth="10" defaultColWidth="8.83203125" defaultRowHeight="14"/>
  <cols>
    <col min="1" max="1" width="12" customWidth="1"/>
    <col min="2" max="2" width="75" customWidth="1"/>
  </cols>
  <sheetData>
    <row r="1" spans="1:2" ht="23">
      <c r="A1" s="1" t="s">
        <v>0</v>
      </c>
    </row>
    <row r="3" spans="1:2" ht="255">
      <c r="A3" s="2" t="s">
        <v>1</v>
      </c>
    </row>
    <row r="5" spans="1:2" ht="15">
      <c r="A5" s="3" t="s">
        <v>2</v>
      </c>
      <c r="B5" s="3" t="s">
        <v>3</v>
      </c>
    </row>
    <row r="6" spans="1:2">
      <c r="A6">
        <v>1</v>
      </c>
      <c r="B6" t="s">
        <v>4</v>
      </c>
    </row>
    <row r="7" spans="1:2">
      <c r="A7">
        <v>2</v>
      </c>
      <c r="B7" t="s">
        <v>5</v>
      </c>
    </row>
    <row r="8" spans="1:2">
      <c r="A8">
        <v>3</v>
      </c>
      <c r="B8" t="s">
        <v>6</v>
      </c>
    </row>
    <row r="9" spans="1:2">
      <c r="A9">
        <v>4</v>
      </c>
      <c r="B9" t="s">
        <v>7</v>
      </c>
    </row>
    <row r="10" spans="1:2">
      <c r="A10">
        <v>5</v>
      </c>
      <c r="B10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8"/>
  <sheetViews>
    <sheetView workbookViewId="0"/>
  </sheetViews>
  <sheetFormatPr baseColWidth="10" defaultColWidth="8.83203125" defaultRowHeight="14"/>
  <cols>
    <col min="1" max="3" width="28" customWidth="1"/>
  </cols>
  <sheetData>
    <row r="1" spans="1:3" ht="23">
      <c r="A1" s="1" t="s">
        <v>9</v>
      </c>
    </row>
    <row r="3" spans="1:3" ht="15">
      <c r="A3" s="3" t="s">
        <v>10</v>
      </c>
      <c r="B3" s="3" t="s">
        <v>11</v>
      </c>
      <c r="C3" s="3" t="s">
        <v>12</v>
      </c>
    </row>
    <row r="4" spans="1:3" ht="15">
      <c r="A4" s="5" t="s">
        <v>13</v>
      </c>
      <c r="B4" s="6" t="s">
        <v>14</v>
      </c>
      <c r="C4" s="4" t="s">
        <v>15</v>
      </c>
    </row>
    <row r="5" spans="1:3" ht="15">
      <c r="A5" s="5" t="s">
        <v>16</v>
      </c>
      <c r="B5" s="6" t="s">
        <v>17</v>
      </c>
      <c r="C5" s="4" t="s">
        <v>18</v>
      </c>
    </row>
    <row r="6" spans="1:3" ht="15">
      <c r="A6" s="5" t="s">
        <v>19</v>
      </c>
      <c r="B6" s="6" t="s">
        <v>20</v>
      </c>
      <c r="C6" s="4" t="s">
        <v>21</v>
      </c>
    </row>
    <row r="7" spans="1:3" ht="15">
      <c r="A7" s="5" t="s">
        <v>22</v>
      </c>
      <c r="B7" s="6" t="s">
        <v>23</v>
      </c>
      <c r="C7" s="4" t="s">
        <v>22</v>
      </c>
    </row>
    <row r="8" spans="1:3" ht="15">
      <c r="A8" s="5" t="s">
        <v>24</v>
      </c>
      <c r="B8" s="6" t="s">
        <v>25</v>
      </c>
      <c r="C8" s="4" t="s">
        <v>26</v>
      </c>
    </row>
    <row r="9" spans="1:3" ht="15">
      <c r="A9" s="5" t="s">
        <v>27</v>
      </c>
      <c r="B9" s="6" t="s">
        <v>28</v>
      </c>
      <c r="C9" s="4" t="s">
        <v>29</v>
      </c>
    </row>
    <row r="10" spans="1:3" ht="15">
      <c r="A10" s="5" t="s">
        <v>30</v>
      </c>
      <c r="B10" s="6" t="s">
        <v>31</v>
      </c>
      <c r="C10" s="4" t="s">
        <v>32</v>
      </c>
    </row>
    <row r="12" spans="1:3" ht="15">
      <c r="A12" s="3" t="s">
        <v>33</v>
      </c>
      <c r="B12" s="3" t="s">
        <v>34</v>
      </c>
    </row>
    <row r="13" spans="1:3" ht="15">
      <c r="A13" s="5" t="s">
        <v>35</v>
      </c>
      <c r="B13" s="6">
        <v>1000</v>
      </c>
    </row>
    <row r="14" spans="1:3" ht="15">
      <c r="A14" s="5" t="s">
        <v>36</v>
      </c>
      <c r="B14" s="7">
        <v>0.04</v>
      </c>
    </row>
    <row r="15" spans="1:3" ht="15">
      <c r="A15" s="5" t="s">
        <v>37</v>
      </c>
      <c r="B15" s="7">
        <v>0.3</v>
      </c>
    </row>
    <row r="16" spans="1:3" ht="15">
      <c r="A16" s="5" t="s">
        <v>38</v>
      </c>
      <c r="B16" s="7">
        <v>0.65</v>
      </c>
    </row>
    <row r="17" spans="1:2" ht="15">
      <c r="A17" s="5" t="s">
        <v>39</v>
      </c>
      <c r="B17" s="7">
        <v>0.03</v>
      </c>
    </row>
    <row r="18" spans="1:2" ht="15">
      <c r="A18" s="5" t="s">
        <v>40</v>
      </c>
      <c r="B18" s="6">
        <v>0</v>
      </c>
    </row>
    <row r="20" spans="1:2" ht="15">
      <c r="A20" s="3" t="s">
        <v>41</v>
      </c>
      <c r="B20" s="3" t="s">
        <v>34</v>
      </c>
    </row>
    <row r="21" spans="1:2" ht="15">
      <c r="A21" s="5" t="s">
        <v>42</v>
      </c>
      <c r="B21" s="8">
        <f>SUMIFS('Factor Tables'!$C:$C,'Factor Tables'!$A:$A,C4,'Factor Tables'!$B:$B,B4)*SUMIFS('Factor Tables'!$C:$C,'Factor Tables'!$A:$A,C5,'Factor Tables'!$B:$B,B5)*SUMIFS('Factor Tables'!$C:$C,'Factor Tables'!$A:$A,C6,'Factor Tables'!$B:$B,B6)*SUMIFS('Factor Tables'!$C:$C,'Factor Tables'!$A:$A,C7,'Factor Tables'!$B:$B,B7)*SUMIFS('Factor Tables'!$C:$C,'Factor Tables'!$A:$A,C8,'Factor Tables'!$B:$B,B8)*SUMIFS('Factor Tables'!$C:$C,'Factor Tables'!$A:$A,C9,'Factor Tables'!$B:$B,B9)*SUMIFS('Factor Tables'!$C:$C,'Factor Tables'!$A:$A,C10,'Factor Tables'!$B:$B,B10)</f>
        <v>1</v>
      </c>
    </row>
    <row r="22" spans="1:2" ht="15">
      <c r="A22" s="5" t="s">
        <v>43</v>
      </c>
      <c r="B22" s="8">
        <f>B13*B21</f>
        <v>1000</v>
      </c>
    </row>
    <row r="23" spans="1:2" ht="15">
      <c r="A23" s="5" t="s">
        <v>44</v>
      </c>
      <c r="B23" s="8">
        <f>B22*(1+B14)</f>
        <v>1040</v>
      </c>
    </row>
    <row r="24" spans="1:2" ht="15">
      <c r="A24" s="5" t="s">
        <v>45</v>
      </c>
      <c r="B24" s="8">
        <f>B23*(1+B15)/B16*(1+B17)</f>
        <v>2142.4</v>
      </c>
    </row>
    <row r="25" spans="1:2" ht="15">
      <c r="A25" s="5" t="s">
        <v>46</v>
      </c>
      <c r="B25" s="8" t="str">
        <f>IF(B18&gt;0,B24/B18-1,"N/A")</f>
        <v>N/A</v>
      </c>
    </row>
    <row r="26" spans="1:2" ht="15">
      <c r="A26" s="5" t="s">
        <v>47</v>
      </c>
      <c r="B26" s="8" t="str">
        <f>IF(B18=0,"No current premium supplied",IF(B25&gt;0.05,"Consider increase",IF(B25&lt;-0.05,"Consider decrease","Near adequate")))</f>
        <v>No current premium supplied</v>
      </c>
    </row>
    <row r="28" spans="1:2" ht="75">
      <c r="A28" s="2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8"/>
  <sheetViews>
    <sheetView workbookViewId="0"/>
  </sheetViews>
  <sheetFormatPr baseColWidth="10" defaultColWidth="8.83203125" defaultRowHeight="14"/>
  <cols>
    <col min="1" max="4" width="24" customWidth="1"/>
  </cols>
  <sheetData>
    <row r="1" spans="1:4" ht="15">
      <c r="A1" s="3" t="s">
        <v>49</v>
      </c>
      <c r="B1" s="3" t="s">
        <v>50</v>
      </c>
      <c r="C1" s="3" t="s">
        <v>51</v>
      </c>
      <c r="D1" s="3" t="s">
        <v>52</v>
      </c>
    </row>
    <row r="2" spans="1:4">
      <c r="A2" t="s">
        <v>15</v>
      </c>
      <c r="B2" t="s">
        <v>14</v>
      </c>
      <c r="C2">
        <v>1</v>
      </c>
      <c r="D2" t="s">
        <v>53</v>
      </c>
    </row>
    <row r="3" spans="1:4">
      <c r="A3" t="s">
        <v>18</v>
      </c>
      <c r="B3" t="s">
        <v>17</v>
      </c>
      <c r="C3">
        <v>1</v>
      </c>
      <c r="D3" t="s">
        <v>53</v>
      </c>
    </row>
    <row r="4" spans="1:4">
      <c r="A4" t="s">
        <v>21</v>
      </c>
      <c r="B4" t="s">
        <v>20</v>
      </c>
      <c r="C4">
        <v>1</v>
      </c>
      <c r="D4" t="s">
        <v>53</v>
      </c>
    </row>
    <row r="5" spans="1:4">
      <c r="A5" t="s">
        <v>22</v>
      </c>
      <c r="B5" t="s">
        <v>23</v>
      </c>
      <c r="C5">
        <v>1</v>
      </c>
      <c r="D5" t="s">
        <v>53</v>
      </c>
    </row>
    <row r="6" spans="1:4">
      <c r="A6" t="s">
        <v>26</v>
      </c>
      <c r="B6" t="s">
        <v>25</v>
      </c>
      <c r="C6">
        <v>1</v>
      </c>
      <c r="D6" t="s">
        <v>53</v>
      </c>
    </row>
    <row r="7" spans="1:4">
      <c r="A7" t="s">
        <v>29</v>
      </c>
      <c r="B7" t="s">
        <v>28</v>
      </c>
      <c r="C7">
        <v>1</v>
      </c>
      <c r="D7" t="s">
        <v>53</v>
      </c>
    </row>
    <row r="8" spans="1:4">
      <c r="A8" t="s">
        <v>32</v>
      </c>
      <c r="B8" t="s">
        <v>31</v>
      </c>
      <c r="C8">
        <v>1</v>
      </c>
      <c r="D8" t="s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9"/>
  <sheetViews>
    <sheetView workbookViewId="0"/>
  </sheetViews>
  <sheetFormatPr baseColWidth="10" defaultColWidth="8.83203125" defaultRowHeight="14"/>
  <cols>
    <col min="1" max="2" width="45" customWidth="1"/>
  </cols>
  <sheetData>
    <row r="1" spans="1:2" ht="23">
      <c r="A1" s="1" t="s">
        <v>54</v>
      </c>
    </row>
    <row r="3" spans="1:2" ht="15">
      <c r="A3" s="3" t="s">
        <v>55</v>
      </c>
      <c r="B3" s="3" t="s">
        <v>56</v>
      </c>
    </row>
    <row r="4" spans="1:2">
      <c r="A4" t="s">
        <v>57</v>
      </c>
      <c r="B4" t="s">
        <v>58</v>
      </c>
    </row>
    <row r="5" spans="1:2">
      <c r="A5" t="s">
        <v>59</v>
      </c>
      <c r="B5" t="s">
        <v>60</v>
      </c>
    </row>
    <row r="6" spans="1:2">
      <c r="A6" t="s">
        <v>61</v>
      </c>
      <c r="B6" t="s">
        <v>62</v>
      </c>
    </row>
    <row r="7" spans="1:2">
      <c r="A7" t="s">
        <v>63</v>
      </c>
      <c r="B7" t="s">
        <v>64</v>
      </c>
    </row>
    <row r="8" spans="1:2">
      <c r="A8" t="s">
        <v>65</v>
      </c>
      <c r="B8" t="s">
        <v>66</v>
      </c>
    </row>
    <row r="9" spans="1:2">
      <c r="A9" t="s">
        <v>67</v>
      </c>
      <c r="B9" t="s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9"/>
  <sheetViews>
    <sheetView workbookViewId="0"/>
  </sheetViews>
  <sheetFormatPr baseColWidth="10" defaultColWidth="8.83203125" defaultRowHeight="14"/>
  <cols>
    <col min="1" max="1" width="110" customWidth="1"/>
  </cols>
  <sheetData>
    <row r="1" spans="1:1" ht="23">
      <c r="A1" s="1" t="s">
        <v>69</v>
      </c>
    </row>
    <row r="3" spans="1:1">
      <c r="A3" t="s">
        <v>70</v>
      </c>
    </row>
    <row r="4" spans="1:1">
      <c r="A4" t="s">
        <v>71</v>
      </c>
    </row>
    <row r="5" spans="1:1">
      <c r="A5" t="s">
        <v>72</v>
      </c>
    </row>
    <row r="6" spans="1:1">
      <c r="A6" t="s">
        <v>73</v>
      </c>
    </row>
    <row r="7" spans="1:1">
      <c r="A7" t="s">
        <v>74</v>
      </c>
    </row>
    <row r="8" spans="1:1">
      <c r="A8" t="s">
        <v>75</v>
      </c>
    </row>
    <row r="9" spans="1:1">
      <c r="A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5"/>
  <sheetViews>
    <sheetView workbookViewId="0"/>
  </sheetViews>
  <sheetFormatPr baseColWidth="10" defaultColWidth="8.83203125" defaultRowHeight="14"/>
  <cols>
    <col min="1" max="2" width="60" customWidth="1"/>
  </cols>
  <sheetData>
    <row r="1" spans="1:2" ht="23">
      <c r="A1" s="1" t="s">
        <v>77</v>
      </c>
    </row>
    <row r="3" spans="1:2">
      <c r="A3" t="s">
        <v>78</v>
      </c>
      <c r="B3" t="s">
        <v>79</v>
      </c>
    </row>
    <row r="4" spans="1:2">
      <c r="A4" t="s">
        <v>80</v>
      </c>
      <c r="B4" t="s">
        <v>81</v>
      </c>
    </row>
    <row r="5" spans="1:2">
      <c r="A5" t="s">
        <v>82</v>
      </c>
      <c r="B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</vt:lpstr>
      <vt:lpstr>Pricing Calculator</vt:lpstr>
      <vt:lpstr>Factor Tables</vt:lpstr>
      <vt:lpstr>Local Run Checklist</vt:lpstr>
      <vt:lpstr>AXIS-Inspired Notes</vt:lpstr>
      <vt:lpstr>Sources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Tahmid Zaman</cp:lastModifiedBy>
  <dcterms:created xsi:type="dcterms:W3CDTF">2026-07-03T17:07:16Z</dcterms:created>
  <dcterms:modified xsi:type="dcterms:W3CDTF">2026-07-03T17:07:16Z</dcterms:modified>
</cp:coreProperties>
</file>