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3993f8b99145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2d0cb20b66e34d37"/>
    <x:sheet xmlns:r="http://schemas.openxmlformats.org/officeDocument/2006/relationships" name="Pricing Calculator" sheetId="2" r:id="R621702587df443ca"/>
    <x:sheet xmlns:r="http://schemas.openxmlformats.org/officeDocument/2006/relationships" name="Factor Tables" sheetId="3" r:id="R8220f59af358427a"/>
    <x:sheet xmlns:r="http://schemas.openxmlformats.org/officeDocument/2006/relationships" name="Local Run Checklist" sheetId="4" r:id="R2819e4708902498e"/>
    <x:sheet xmlns:r="http://schemas.openxmlformats.org/officeDocument/2006/relationships" name="AXIS-Inspired Notes" sheetId="5" r:id="Rd8ee06f373c64663"/>
    <x:sheet xmlns:r="http://schemas.openxmlformats.org/officeDocument/2006/relationships" name="Sources" sheetId="6" r:id="Raf9fe44ae6144e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4">
    <x:font>
      <x:sz val="11"/>
      <x:name val="Carlito"/>
    </x:font>
    <x:font>
      <x:b/>
      <x:sz val="18"/>
      <x:color rgb="FF1F4E78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200" fontId="0" fillId="4" borderId="0" xfId="0" applyNumberFormat="1" applyFont="1" applyFill="1" applyBorder="1"/>
    <x:xf numFmtId="20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1aac0d8e604c1b" /><Relationship Type="http://schemas.openxmlformats.org/officeDocument/2006/relationships/theme" Target="/xl/theme/theme1.xml" Id="Rd51317aa9650423f" /><Relationship Type="http://schemas.openxmlformats.org/officeDocument/2006/relationships/sharedStrings" Target="/xl/sharedStrings.xml" Id="Rde18a357ca6c4e7e" /><Relationship Type="http://schemas.openxmlformats.org/officeDocument/2006/relationships/worksheet" Target="/xl/worksheets/sheet1.xml" Id="R2d0cb20b66e34d37" /><Relationship Type="http://schemas.openxmlformats.org/officeDocument/2006/relationships/worksheet" Target="/xl/worksheets/sheet2.xml" Id="R621702587df443ca" /><Relationship Type="http://schemas.openxmlformats.org/officeDocument/2006/relationships/worksheet" Target="/xl/worksheets/sheet3.xml" Id="R8220f59af358427a" /><Relationship Type="http://schemas.openxmlformats.org/officeDocument/2006/relationships/worksheet" Target="/xl/worksheets/sheet4.xml" Id="R2819e4708902498e" /><Relationship Type="http://schemas.openxmlformats.org/officeDocument/2006/relationships/worksheet" Target="/xl/worksheets/sheet5.xml" Id="Rd8ee06f373c64663" /><Relationship Type="http://schemas.openxmlformats.org/officeDocument/2006/relationships/worksheet" Target="/xl/worksheets/sheet6.xml" Id="Raf9fe44ae6144e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5" hidden="0" customWidth="1"/>
  </x:cols>
  <x:sheetData>
    <x:row r="1">
      <x:c r="A1" s="2" t="str">
        <x:v>freMTPL2 Auto Insurance Pricing Model - Excel Template</x:v>
      </x:c>
    </x:row>
    <x:row r="3">
      <x:c r="A3" s="4" t="str">
        <x:v>This workbook is a template. After you run Python on the real freMTPL2 dataset, run python/build_excel_tool.py to generate the completed workbook with real model-derived rating factors.</x:v>
      </x:c>
    </x:row>
    <x:row r="5">
      <x:c r="A5" s="7" t="str">
        <x:v>Step</x:v>
      </x:c>
      <x:c r="B5" s="7" t="str">
        <x:v>Command / Action</x:v>
      </x:c>
    </x:row>
    <x:row r="6">
      <x:c r="A6" s="10" t="n">
        <x:v>1</x:v>
      </x:c>
      <x:c r="B6" s="10" t="str">
        <x:v>pip install -r requirements.txt</x:v>
      </x:c>
    </x:row>
    <x:row r="7">
      <x:c r="A7" s="10" t="n">
        <x:v>2</x:v>
      </x:c>
      <x:c r="B7" s="10" t="str">
        <x:v>python python/download_data.py</x:v>
      </x:c>
    </x:row>
    <x:row r="8">
      <x:c r="A8" s="10" t="n">
        <x:v>3</x:v>
      </x:c>
      <x:c r="B8" s="10" t="str">
        <x:v>python python/real_auto_pricing_model.py --sample-size 100000</x:v>
      </x:c>
    </x:row>
    <x:row r="9">
      <x:c r="A9" s="10" t="n">
        <x:v>4</x:v>
      </x:c>
      <x:c r="B9" s="10" t="str">
        <x:v>python python/build_excel_tool.py</x:v>
      </x:c>
    </x:row>
    <x:row r="10">
      <x:c r="A10" s="10" t="n">
        <x:v>5</x:v>
      </x:c>
      <x:c r="B10" s="10" t="str">
        <x:v>Open excel/freMTPL2_Auto_Pricing_Tool.xlsx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2" t="str">
        <x:v>Technical Premium Calculator Template</x:v>
      </x:c>
    </x:row>
    <x:row r="3">
      <x:c r="A3" s="7" t="str">
        <x:v>Input</x:v>
      </x:c>
      <x:c r="B3" s="7" t="str">
        <x:v>Selected value</x:v>
      </x:c>
      <x:c r="C3" s="7" t="str">
        <x:v>Factor source</x:v>
      </x:c>
    </x:row>
    <x:row r="4">
      <x:c r="A4" s="12" t="str">
        <x:v>Driver age band</x:v>
      </x:c>
      <x:c r="B4" s="15" t="str">
        <x:v>30-39</x:v>
      </x:c>
      <x:c r="C4" s="11" t="str">
        <x:v>DrivAgeBand</x:v>
      </x:c>
    </x:row>
    <x:row r="5">
      <x:c r="A5" s="12" t="str">
        <x:v>Vehicle age band</x:v>
      </x:c>
      <x:c r="B5" s="15" t="str">
        <x:v>2-5</x:v>
      </x:c>
      <x:c r="C5" s="11" t="str">
        <x:v>VehAgeBand</x:v>
      </x:c>
    </x:row>
    <x:row r="6">
      <x:c r="A6" s="12" t="str">
        <x:v>Bonus-Malus band</x:v>
      </x:c>
      <x:c r="B6" s="15" t="str">
        <x:v>50-59</x:v>
      </x:c>
      <x:c r="C6" s="11" t="str">
        <x:v>BonusMalusBand</x:v>
      </x:c>
    </x:row>
    <x:row r="7">
      <x:c r="A7" s="12" t="str">
        <x:v>Area</x:v>
      </x:c>
      <x:c r="B7" s="15" t="str">
        <x:v>D</x:v>
      </x:c>
      <x:c r="C7" s="11" t="str">
        <x:v>Area</x:v>
      </x:c>
    </x:row>
    <x:row r="8">
      <x:c r="A8" s="12" t="str">
        <x:v>Vehicle gas</x:v>
      </x:c>
      <x:c r="B8" s="15" t="str">
        <x:v>Regular</x:v>
      </x:c>
      <x:c r="C8" s="11" t="str">
        <x:v>VehGas</x:v>
      </x:c>
    </x:row>
    <x:row r="9">
      <x:c r="A9" s="12" t="str">
        <x:v>Vehicle power band</x:v>
      </x:c>
      <x:c r="B9" s="15" t="str">
        <x:v>6-7</x:v>
      </x:c>
      <x:c r="C9" s="11" t="str">
        <x:v>VehPowerBand</x:v>
      </x:c>
    </x:row>
    <x:row r="10">
      <x:c r="A10" s="12" t="str">
        <x:v>Density band</x:v>
      </x:c>
      <x:c r="B10" s="15" t="str">
        <x:v>501-1500</x:v>
      </x:c>
      <x:c r="C10" s="11" t="str">
        <x:v>DensityBand</x:v>
      </x:c>
    </x:row>
    <x:row r="12">
      <x:c r="A12" s="7" t="str">
        <x:v>Assumption</x:v>
      </x:c>
      <x:c r="B12" s="7" t="str">
        <x:v>Value</x:v>
      </x:c>
    </x:row>
    <x:row r="13">
      <x:c r="A13" s="12" t="str">
        <x:v>Portfolio base selected pure premium</x:v>
      </x:c>
      <x:c r="B13" s="15" t="n">
        <x:v>1000</x:v>
      </x:c>
    </x:row>
    <x:row r="14">
      <x:c r="A14" s="12" t="str">
        <x:v>Loss trend</x:v>
      </x:c>
      <x:c r="B14" s="17" t="n">
        <x:v>0.04</x:v>
      </x:c>
    </x:row>
    <x:row r="15">
      <x:c r="A15" s="12" t="str">
        <x:v>Expense load</x:v>
      </x:c>
      <x:c r="B15" s="17" t="n">
        <x:v>0.3</x:v>
      </x:c>
    </x:row>
    <x:row r="16">
      <x:c r="A16" s="12" t="str">
        <x:v>Target loss ratio</x:v>
      </x:c>
      <x:c r="B16" s="17" t="n">
        <x:v>0.65</x:v>
      </x:c>
    </x:row>
    <x:row r="17">
      <x:c r="A17" s="12" t="str">
        <x:v>Profit load</x:v>
      </x:c>
      <x:c r="B17" s="17" t="n">
        <x:v>0.03</x:v>
      </x:c>
    </x:row>
    <x:row r="18">
      <x:c r="A18" s="12" t="str">
        <x:v>Optional supplied current premium</x:v>
      </x:c>
      <x:c r="B18" s="15" t="n">
        <x:v>0</x:v>
      </x:c>
    </x:row>
    <x:row r="20">
      <x:c r="A20" s="7" t="str">
        <x:v>Output</x:v>
      </x:c>
      <x:c r="B20" s="7" t="str">
        <x:v>Value</x:v>
      </x:c>
    </x:row>
    <x:row r="21">
      <x:c r="A21" s="12" t="str">
        <x:v>Combined rating relativity</x:v>
      </x:c>
      <x:c r="B21" s="19" t="n">
        <x:f>SUMIFS('Factor Tables'!$C:$C,'Factor Tables'!$A:$A,C4,'Factor Tables'!$B:$B,B4)*SUMIFS('Factor Tables'!$C:$C,'Factor Tables'!$A:$A,C5,'Factor Tables'!$B:$B,B5)*SUMIFS('Factor Tables'!$C:$C,'Factor Tables'!$A:$A,C6,'Factor Tables'!$B:$B,B6)*SUMIFS('Factor Tables'!$C:$C,'Factor Tables'!$A:$A,C7,'Factor Tables'!$B:$B,B7)*SUMIFS('Factor Tables'!$C:$C,'Factor Tables'!$A:$A,C8,'Factor Tables'!$B:$B,B8)*SUMIFS('Factor Tables'!$C:$C,'Factor Tables'!$A:$A,C9,'Factor Tables'!$B:$B,B9)*SUMIFS('Factor Tables'!$C:$C,'Factor Tables'!$A:$A,C10,'Factor Tables'!$B:$B,B10)</x:f>
        <x:v>1</x:v>
      </x:c>
    </x:row>
    <x:row r="22">
      <x:c r="A22" s="12" t="str">
        <x:v>Selected pure premium</x:v>
      </x:c>
      <x:c r="B22" s="19" t="n">
        <x:f>B13*B21</x:f>
        <x:v>1000</x:v>
      </x:c>
    </x:row>
    <x:row r="23">
      <x:c r="A23" s="12" t="str">
        <x:v>Trended pure premium</x:v>
      </x:c>
      <x:c r="B23" s="19" t="n">
        <x:f>B22*(1+B14)</x:f>
        <x:v>1040</x:v>
      </x:c>
    </x:row>
    <x:row r="24">
      <x:c r="A24" s="12" t="str">
        <x:v>Technical / indicated premium</x:v>
      </x:c>
      <x:c r="B24" s="19" t="n">
        <x:f>B23*(1+B15)/B16*(1+B17)</x:f>
        <x:v>2142.4</x:v>
      </x:c>
    </x:row>
    <x:row r="25">
      <x:c r="A25" s="12" t="str">
        <x:v>Rate change vs optional current premium</x:v>
      </x:c>
      <x:c r="B25" s="19" t="str">
        <x:f>IF(B18&gt;0,B24/B18-1,"N/A")</x:f>
        <x:v>N/A</x:v>
      </x:c>
    </x:row>
    <x:row r="26">
      <x:c r="A26" s="12" t="str">
        <x:v>Recommendation</x:v>
      </x:c>
      <x:c r="B26" s="19" t="str">
        <x:f>IF(B18=0,"No current premium supplied",IF(B25&gt;0.05,"Consider increase",IF(B25&lt;-0.05,"Consider decrease","Near adequate")))</x:f>
        <x:v>No current premium supplied</x:v>
      </x:c>
    </x:row>
    <x:row r="28">
      <x:c r="A28" s="4" t="str">
        <x:v>Note: these neutral factors are placeholders. The completed workbook is generated by python/build_excel_tool.py after the real data model runs.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7" t="str">
        <x:v>variable</x:v>
      </x:c>
      <x:c r="B1" s="7" t="str">
        <x:v>level</x:v>
      </x:c>
      <x:c r="C1" s="7" t="str">
        <x:v>relativity</x:v>
      </x:c>
      <x:c r="D1" s="7" t="str">
        <x:v>note</x:v>
      </x:c>
    </x:row>
    <x:row r="2">
      <x:c r="A2" t="str">
        <x:v>DrivAgeBand</x:v>
      </x:c>
      <x:c r="B2" t="str">
        <x:v>30-39</x:v>
      </x:c>
      <x:c r="C2" t="n">
        <x:v>1</x:v>
      </x:c>
      <x:c r="D2" t="str">
        <x:v>template placeholder</x:v>
      </x:c>
    </x:row>
    <x:row r="3">
      <x:c r="A3" t="str">
        <x:v>VehAgeBand</x:v>
      </x:c>
      <x:c r="B3" t="str">
        <x:v>2-5</x:v>
      </x:c>
      <x:c r="C3" t="n">
        <x:v>1</x:v>
      </x:c>
      <x:c r="D3" t="str">
        <x:v>template placeholder</x:v>
      </x:c>
    </x:row>
    <x:row r="4">
      <x:c r="A4" t="str">
        <x:v>BonusMalusBand</x:v>
      </x:c>
      <x:c r="B4" t="str">
        <x:v>50-59</x:v>
      </x:c>
      <x:c r="C4" t="n">
        <x:v>1</x:v>
      </x:c>
      <x:c r="D4" t="str">
        <x:v>template placeholder</x:v>
      </x:c>
    </x:row>
    <x:row r="5">
      <x:c r="A5" t="str">
        <x:v>Area</x:v>
      </x:c>
      <x:c r="B5" t="str">
        <x:v>D</x:v>
      </x:c>
      <x:c r="C5" t="n">
        <x:v>1</x:v>
      </x:c>
      <x:c r="D5" t="str">
        <x:v>template placeholder</x:v>
      </x:c>
    </x:row>
    <x:row r="6">
      <x:c r="A6" t="str">
        <x:v>VehGas</x:v>
      </x:c>
      <x:c r="B6" t="str">
        <x:v>Regular</x:v>
      </x:c>
      <x:c r="C6" t="n">
        <x:v>1</x:v>
      </x:c>
      <x:c r="D6" t="str">
        <x:v>template placeholder</x:v>
      </x:c>
    </x:row>
    <x:row r="7">
      <x:c r="A7" t="str">
        <x:v>VehPowerBand</x:v>
      </x:c>
      <x:c r="B7" t="str">
        <x:v>6-7</x:v>
      </x:c>
      <x:c r="C7" t="n">
        <x:v>1</x:v>
      </x:c>
      <x:c r="D7" t="str">
        <x:v>template placeholder</x:v>
      </x:c>
    </x:row>
    <x:row r="8">
      <x:c r="A8" t="str">
        <x:v>DensityBand</x:v>
      </x:c>
      <x:c r="B8" t="str">
        <x:v>501-1500</x:v>
      </x:c>
      <x:c r="C8" t="n">
        <x:v>1</x:v>
      </x:c>
      <x:c r="D8" t="str">
        <x:v>template placeholder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45" hidden="0" customWidth="1"/>
  </x:cols>
  <x:sheetData>
    <x:row r="1">
      <x:c r="A1" s="2" t="str">
        <x:v>Local Run Checklist</x:v>
      </x:c>
    </x:row>
    <x:row r="3">
      <x:c r="A3" s="7" t="str">
        <x:v>Task</x:v>
      </x:c>
      <x:c r="B3" s="7" t="str">
        <x:v>Expected result</x:v>
      </x:c>
    </x:row>
    <x:row r="4">
      <x:c r="A4" t="str">
        <x:v>Install requirements</x:v>
      </x:c>
      <x:c r="B4" t="str">
        <x:v>No package errors</x:v>
      </x:c>
    </x:row>
    <x:row r="5">
      <x:c r="A5" t="str">
        <x:v>Download data</x:v>
      </x:c>
      <x:c r="B5" t="str">
        <x:v>data/raw/freMTPL2freq.csv and data/raw/freMTPL2sev.csv exist</x:v>
      </x:c>
    </x:row>
    <x:row r="6">
      <x:c r="A6" t="str">
        <x:v>Run model</x:v>
      </x:c>
      <x:c r="B6" t="str">
        <x:v>outputs/model_performance.csv and outputs/scored_policies.csv are created</x:v>
      </x:c>
    </x:row>
    <x:row r="7">
      <x:c r="A7" t="str">
        <x:v>Build workbook</x:v>
      </x:c>
      <x:c r="B7" t="str">
        <x:v>excel/freMTPL2_Auto_Pricing_Tool.xlsx is created</x:v>
      </x:c>
    </x:row>
    <x:row r="8">
      <x:c r="A8" t="str">
        <x:v>Test calculator</x:v>
      </x:c>
      <x:c r="B8" t="str">
        <x:v>Changing inputs changes technical premium</x:v>
      </x:c>
    </x:row>
    <x:row r="9">
      <x:c r="A9" t="str">
        <x:v>Import VBA</x:v>
      </x:c>
      <x:c r="B9" t="str">
        <x:v>Buttons can refresh/reset/export PDF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s="2" t="str">
        <x:v>AXIS-Inspired Governance Notes</x:v>
      </x:c>
    </x:row>
    <x:row r="3">
      <x:c r="A3" t="str">
        <x:v>This project does not use actual AXIS.</x:v>
      </x:c>
    </x:row>
    <x:row r="4">
      <x:c r="A4" t="str">
        <x:v>It is AXIS-inspired in governance structure: model-point files, assumption/scenario controls, reproducible run outputs, and QA/audit checks.</x:v>
      </x:c>
    </x:row>
    <x:row r="5">
      <x:c r="A5" t="str">
        <x:v>model_points_fremtpl2.csv = model-point file</x:v>
      </x:c>
    </x:row>
    <x:row r="6">
      <x:c r="A6" t="str">
        <x:v>config/scenarios.yaml = scenario/assumption control</x:v>
      </x:c>
    </x:row>
    <x:row r="7">
      <x:c r="A7" t="str">
        <x:v>rating_factors_*.csv = assumption/output tables</x:v>
      </x:c>
    </x:row>
    <x:row r="8">
      <x:c r="A8" t="str">
        <x:v>scored_policies.csv = model run output</x:v>
      </x:c>
    </x:row>
    <x:row r="9">
      <x:c r="A9" t="str">
        <x:v>qa_report.csv = validation/audit evidence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60" hidden="0" customWidth="1"/>
    <x:col min="2" max="2" width="60" hidden="0" customWidth="1"/>
  </x:cols>
  <x:sheetData>
    <x:row r="1">
      <x:c r="A1" s="2" t="str">
        <x:v>Sources</x:v>
      </x:c>
    </x:row>
    <x:row r="3">
      <x:c r="A3" t="str">
        <x:v>CASdatasets freMTPL documentation</x:v>
      </x:c>
      <x:c r="B3" t="str">
        <x:v>https://dutangc.github.io/CASdatasets/reference/freMTPL.html</x:v>
      </x:c>
    </x:row>
    <x:row r="4">
      <x:c r="A4" t="str">
        <x:v>Hugging Face freMTPL2 mirror</x:v>
      </x:c>
      <x:c r="B4" t="str">
        <x:v>https://huggingface.co/datasets/mabilton/fremtpl2</x:v>
      </x:c>
    </x:row>
    <x:row r="5">
      <x:c r="A5" t="str">
        <x:v>scikit-learn insurance claims example</x:v>
      </x:c>
      <x:c r="B5" t="str">
        <x:v>https://scikit-learn.org/stable/auto_examples/linear_model/plot_tweedie_regression_insurance_claims.html</x:v>
      </x:c>
    </x:row>
  </x:sheetData>
  <x:pageMargins left="0.7" right="0.7" top="0.75" bottom="0.75" header="0.3" footer="0.3"/>
</x:worksheet>
</file>